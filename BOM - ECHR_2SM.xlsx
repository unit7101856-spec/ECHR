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97"/>
  </bookViews>
  <sheets>
    <sheet name="COSTING" sheetId="7" r:id="rId1"/>
    <sheet name="2SM Elct" sheetId="6" r:id="rId2"/>
    <sheet name="2SM Harness" sheetId="3" r:id="rId3"/>
    <sheet name="Shroud Parts" sheetId="4" r:id="rId4"/>
  </sheets>
  <calcPr calcId="152511"/>
</workbook>
</file>

<file path=xl/calcChain.xml><?xml version="1.0" encoding="utf-8"?>
<calcChain xmlns="http://schemas.openxmlformats.org/spreadsheetml/2006/main">
  <c r="G14" i="4" l="1"/>
  <c r="D26" i="7" l="1"/>
  <c r="E26" i="7" s="1"/>
  <c r="D25" i="7"/>
  <c r="E25" i="7" s="1"/>
  <c r="E29" i="7"/>
  <c r="F30" i="7"/>
  <c r="F29" i="7"/>
  <c r="F26" i="7"/>
  <c r="F25" i="7"/>
  <c r="E30" i="7"/>
  <c r="G15" i="3" l="1"/>
  <c r="G14" i="3"/>
  <c r="G13" i="3"/>
  <c r="G12" i="3"/>
  <c r="G11" i="3"/>
  <c r="G10" i="3"/>
  <c r="G9" i="3"/>
  <c r="G8" i="3"/>
  <c r="G7" i="3"/>
  <c r="G6" i="3"/>
  <c r="G5" i="3"/>
  <c r="G4" i="3"/>
  <c r="G3" i="3"/>
  <c r="G15" i="4"/>
  <c r="G16" i="6"/>
  <c r="G7" i="4" l="1"/>
  <c r="G4" i="4"/>
  <c r="G5" i="4" l="1"/>
  <c r="G6" i="4"/>
  <c r="G13" i="4" l="1"/>
  <c r="G2" i="4"/>
  <c r="G3" i="4"/>
  <c r="G8" i="6" l="1"/>
  <c r="G15" i="6" l="1"/>
  <c r="G6" i="6"/>
  <c r="G7" i="6" l="1"/>
  <c r="G14" i="6"/>
  <c r="G13" i="6"/>
  <c r="G12" i="6"/>
  <c r="G11" i="6"/>
  <c r="G10" i="6"/>
  <c r="G9" i="6"/>
  <c r="G5" i="6"/>
  <c r="G4" i="6"/>
  <c r="G3" i="6"/>
  <c r="G2" i="6"/>
  <c r="G17" i="6" l="1"/>
  <c r="C15" i="7"/>
  <c r="G12" i="4"/>
  <c r="G11" i="4"/>
  <c r="G8" i="4"/>
  <c r="G9" i="4"/>
  <c r="G10" i="4"/>
  <c r="G16" i="4" l="1"/>
  <c r="D15" i="7"/>
  <c r="C17" i="7"/>
  <c r="G30" i="7" s="1"/>
  <c r="G26" i="7" l="1"/>
  <c r="D17" i="7"/>
  <c r="G16" i="3" l="1"/>
  <c r="G2" i="3"/>
  <c r="G17" i="3" l="1"/>
  <c r="C16" i="7" s="1"/>
  <c r="D16" i="7" l="1"/>
  <c r="D19" i="7" s="1"/>
  <c r="C19" i="7"/>
  <c r="G25" i="7" l="1"/>
  <c r="G29" i="7"/>
  <c r="C20" i="7"/>
  <c r="D20" i="7"/>
</calcChain>
</file>

<file path=xl/sharedStrings.xml><?xml version="1.0" encoding="utf-8"?>
<sst xmlns="http://schemas.openxmlformats.org/spreadsheetml/2006/main" count="252" uniqueCount="154">
  <si>
    <t>Part Number</t>
  </si>
  <si>
    <t>Item</t>
  </si>
  <si>
    <t>Cost</t>
  </si>
  <si>
    <t>Quantity</t>
  </si>
  <si>
    <t>Description</t>
  </si>
  <si>
    <t>Line Cost</t>
  </si>
  <si>
    <t>Supplier</t>
  </si>
  <si>
    <t>Notes</t>
  </si>
  <si>
    <t>DT13-2P</t>
  </si>
  <si>
    <t>Digikey</t>
  </si>
  <si>
    <t>2 pin deutch - pcb mount</t>
  </si>
  <si>
    <t>6 pin deutch - pcb mount</t>
  </si>
  <si>
    <t>Red LED</t>
  </si>
  <si>
    <t>150080RS75000</t>
  </si>
  <si>
    <t>DPDT slider</t>
  </si>
  <si>
    <t>Flip flop output</t>
  </si>
  <si>
    <t>Power Input</t>
  </si>
  <si>
    <t>Total</t>
  </si>
  <si>
    <t>DT13-6P</t>
  </si>
  <si>
    <t>Reverse polarity protection</t>
  </si>
  <si>
    <t>PART MODEL NEEDED?</t>
  </si>
  <si>
    <t>N</t>
  </si>
  <si>
    <t>Mini Fuseblock tap</t>
  </si>
  <si>
    <t>Include as a kit for user to tap into fuse block on tractor</t>
  </si>
  <si>
    <t>Amazon</t>
  </si>
  <si>
    <t>B08QJHXRN6</t>
  </si>
  <si>
    <t>Wire Loom 1/4" 100ft</t>
  </si>
  <si>
    <t>B074GM1PK1</t>
  </si>
  <si>
    <t>1/2" glue infused heatshrink</t>
  </si>
  <si>
    <t>1/4" glue infused heatshrink</t>
  </si>
  <si>
    <t>Deutsch female Pins 16AWG</t>
  </si>
  <si>
    <t>0462-201-16141</t>
  </si>
  <si>
    <t>DT06-6S</t>
  </si>
  <si>
    <t xml:space="preserve"> DT06-2S</t>
  </si>
  <si>
    <t>2 pin male plug Deutsch</t>
  </si>
  <si>
    <t>6 pin male plug Deutsch</t>
  </si>
  <si>
    <t>For outer covering from Loom to connector</t>
  </si>
  <si>
    <t>ZA1030</t>
  </si>
  <si>
    <t>12V 10A outlet male plug</t>
  </si>
  <si>
    <t>For soldered wire to wire connections (4' amount)</t>
  </si>
  <si>
    <t xml:space="preserve"> Q5-2X-1/4-01-QB48IN-25</t>
  </si>
  <si>
    <t>DWP-125-1/2-0-STK</t>
  </si>
  <si>
    <t>NOTE: this is for both the power entry and solenoid connection.</t>
  </si>
  <si>
    <t>18AWG Black Wire</t>
  </si>
  <si>
    <t>18AWG Red Wire</t>
  </si>
  <si>
    <t>3239-18-1-0500-001-1-TS</t>
  </si>
  <si>
    <t>3239-18-1-0500-004-1-TS</t>
  </si>
  <si>
    <t>W6S</t>
  </si>
  <si>
    <t>6 pin wedge block</t>
  </si>
  <si>
    <t>2 pin wedge block</t>
  </si>
  <si>
    <t>W2S</t>
  </si>
  <si>
    <t>Clear Silicone Caulk</t>
  </si>
  <si>
    <t>Solenoid Port</t>
  </si>
  <si>
    <t>Smooth ON</t>
  </si>
  <si>
    <t xml:space="preserve">Staticide 8695 Silicone </t>
  </si>
  <si>
    <t>omoo mold maker</t>
  </si>
  <si>
    <t>To create the mold needed for the body</t>
  </si>
  <si>
    <t>Auto Reset fuse</t>
  </si>
  <si>
    <t>C2012X7R1E475K125AB</t>
  </si>
  <si>
    <t>4.7uf cap</t>
  </si>
  <si>
    <t>CRG0603F330R</t>
  </si>
  <si>
    <t>330 ohm</t>
  </si>
  <si>
    <t>Passive</t>
  </si>
  <si>
    <t>Menards</t>
  </si>
  <si>
    <t>Mcmaster</t>
  </si>
  <si>
    <t>NC191LTA10</t>
  </si>
  <si>
    <t>UV protection</t>
  </si>
  <si>
    <t xml:space="preserve">UVO colorant </t>
  </si>
  <si>
    <t>https://shop.smooth-on.com/uvotm-colorants</t>
  </si>
  <si>
    <t>https://shop.smooth-on.com/oomoo-25</t>
  </si>
  <si>
    <t>Mold Release</t>
  </si>
  <si>
    <t>https://shop.smooth-on.com/ease-release-200</t>
  </si>
  <si>
    <t>SPDT</t>
  </si>
  <si>
    <t>Wired to board, carling sw</t>
  </si>
  <si>
    <t>L202011MS02Q</t>
  </si>
  <si>
    <t>Slider switch cap</t>
  </si>
  <si>
    <t>Nice cap for the slider switch</t>
  </si>
  <si>
    <t>MCP1754ST-3302E/CB</t>
  </si>
  <si>
    <t>12V to 3v3 PSU 150mA</t>
  </si>
  <si>
    <t>Spray only the top of the components</t>
  </si>
  <si>
    <t>Power indication</t>
  </si>
  <si>
    <t>RAW</t>
  </si>
  <si>
    <t>ADJUSTED</t>
  </si>
  <si>
    <t>Shroud Cost</t>
  </si>
  <si>
    <t>Profit</t>
  </si>
  <si>
    <t>PCBWAY</t>
  </si>
  <si>
    <t>Bare PCB</t>
  </si>
  <si>
    <t>Cost if 100 are bought</t>
  </si>
  <si>
    <t>Markup:</t>
  </si>
  <si>
    <t>2SM Electroinics Cost</t>
  </si>
  <si>
    <t>Wire Harness Cost</t>
  </si>
  <si>
    <t>Base Unit</t>
  </si>
  <si>
    <t>Kit</t>
  </si>
  <si>
    <t>Price</t>
  </si>
  <si>
    <t>No clean syringe, price includes solder spool</t>
  </si>
  <si>
    <t>Solder Paste/wire</t>
  </si>
  <si>
    <t>NOTE:</t>
  </si>
  <si>
    <t>Cost of the SW-2RM-DT from Summit Hydraulics is 110 for the base, 144 for the base and harness</t>
  </si>
  <si>
    <t>MSRP</t>
  </si>
  <si>
    <t>Secure PCB to Deutch connectors</t>
  </si>
  <si>
    <t>Secure shroud to Deutch</t>
  </si>
  <si>
    <t>To seal switches</t>
  </si>
  <si>
    <t>51513610350F</t>
  </si>
  <si>
    <t>5mm x 7mm right ang pipe</t>
  </si>
  <si>
    <t>Price is per 50</t>
  </si>
  <si>
    <t>Or use premade plug. Changing athe output end to DEUTCH</t>
  </si>
  <si>
    <t>Main Body 2-Part Epoxy (2 units per pound)</t>
  </si>
  <si>
    <t>RGEF600</t>
  </si>
  <si>
    <t>10.2A PTC Fuse</t>
  </si>
  <si>
    <t>BAT54T1G</t>
  </si>
  <si>
    <t>Price is per foot (Min orders apply), may use for input power</t>
  </si>
  <si>
    <t>92400A110</t>
  </si>
  <si>
    <t>92400A150</t>
  </si>
  <si>
    <t xml:space="preserve"> preserves life of the mold</t>
  </si>
  <si>
    <t>20AWG Black Wire</t>
  </si>
  <si>
    <t>20AWG Red Wire</t>
  </si>
  <si>
    <t>Price is per foot (Min orders apply), Main wire</t>
  </si>
  <si>
    <t>3132-20-1-0500-004-1-TS</t>
  </si>
  <si>
    <t>3132-20-1-0500-001-1-TS</t>
  </si>
  <si>
    <t>30V 0.2A Schottkey</t>
  </si>
  <si>
    <t>99512A655</t>
  </si>
  <si>
    <t>99512A665</t>
  </si>
  <si>
    <t>TORX  #4-20 0.25" BLK</t>
  </si>
  <si>
    <t>TORX #6-19 0.375" BLK</t>
  </si>
  <si>
    <t>HEX #6-19 0.375"</t>
  </si>
  <si>
    <t>HEX #4-20 0.25"</t>
  </si>
  <si>
    <t>HEX #6-19 0.5"</t>
  </si>
  <si>
    <t>TORX #6-19 0.5" BLK</t>
  </si>
  <si>
    <t>Connect Shroud</t>
  </si>
  <si>
    <t>92400A160</t>
  </si>
  <si>
    <t>99512A666</t>
  </si>
  <si>
    <t>Needed to power indicator, 16V max</t>
  </si>
  <si>
    <t>NA</t>
  </si>
  <si>
    <t>Part Shipping</t>
  </si>
  <si>
    <t>ECHR_2SM Raw Material Cost</t>
  </si>
  <si>
    <t>Generic shipping added, per 10 pieces ordered</t>
  </si>
  <si>
    <t xml:space="preserve"> R716FB1-SXXXNBDNNX</t>
  </si>
  <si>
    <t>4' 16AWG for power entry, 6' 18AWG for solenoid</t>
  </si>
  <si>
    <t>Smoothcast 66D resin</t>
  </si>
  <si>
    <t>Amazon Fee</t>
  </si>
  <si>
    <t>sale fee</t>
  </si>
  <si>
    <t>NOTE-Set to consumer electronics</t>
  </si>
  <si>
    <t>Shipping cost</t>
  </si>
  <si>
    <t>Discount amount</t>
  </si>
  <si>
    <t>Part Shipping_tax_tarrif</t>
  </si>
  <si>
    <t>Generic shipping added</t>
  </si>
  <si>
    <t>Deutsh connectors - Price is if 100 are purchased</t>
  </si>
  <si>
    <t>Shipping box and foam cost</t>
  </si>
  <si>
    <t>SALE PRICE</t>
  </si>
  <si>
    <t>SELL fee</t>
  </si>
  <si>
    <t>1.75mm PLA - BLACK</t>
  </si>
  <si>
    <t>B0CZ6JF1B3</t>
  </si>
  <si>
    <t>does not include electricity</t>
  </si>
  <si>
    <t>Those numbers are a sale price from 150-185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</si>
</sst>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sz val="14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0" borderId="2" applyNumberFormat="0" applyFill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44" fontId="0" fillId="0" borderId="0" xfId="1" applyFont="1"/>
    <xf numFmtId="0" fontId="1" fillId="0" borderId="1" xfId="0" applyFont="1" applyFill="1" applyBorder="1"/>
    <xf numFmtId="0" fontId="0" fillId="0" borderId="0" xfId="0" applyFill="1"/>
    <xf numFmtId="44" fontId="0" fillId="0" borderId="0" xfId="1" applyFont="1" applyFill="1"/>
    <xf numFmtId="0" fontId="0" fillId="0" borderId="0" xfId="0" applyAlignment="1">
      <alignment wrapText="1"/>
    </xf>
    <xf numFmtId="44" fontId="2" fillId="2" borderId="0" xfId="2" applyNumberFormat="1"/>
    <xf numFmtId="44" fontId="0" fillId="0" borderId="0" xfId="1" applyNumberFormat="1" applyFont="1"/>
    <xf numFmtId="0" fontId="4" fillId="0" borderId="0" xfId="3"/>
    <xf numFmtId="44" fontId="0" fillId="0" borderId="0" xfId="0" applyNumberFormat="1"/>
    <xf numFmtId="0" fontId="5" fillId="3" borderId="0" xfId="4"/>
    <xf numFmtId="9" fontId="5" fillId="3" borderId="0" xfId="4" applyNumberFormat="1"/>
    <xf numFmtId="0" fontId="1" fillId="0" borderId="0" xfId="0" applyFont="1"/>
    <xf numFmtId="0" fontId="1" fillId="0" borderId="3" xfId="0" applyFont="1" applyBorder="1"/>
    <xf numFmtId="44" fontId="0" fillId="0" borderId="3" xfId="0" applyNumberFormat="1" applyBorder="1"/>
    <xf numFmtId="0" fontId="6" fillId="0" borderId="3" xfId="5" applyBorder="1"/>
    <xf numFmtId="44" fontId="5" fillId="3" borderId="3" xfId="4" applyNumberFormat="1" applyBorder="1"/>
    <xf numFmtId="44" fontId="0" fillId="0" borderId="3" xfId="1" applyFont="1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0" fillId="0" borderId="8" xfId="0" applyBorder="1"/>
    <xf numFmtId="0" fontId="3" fillId="0" borderId="7" xfId="0" applyFont="1" applyBorder="1"/>
    <xf numFmtId="0" fontId="7" fillId="0" borderId="0" xfId="3" applyFont="1"/>
    <xf numFmtId="0" fontId="8" fillId="0" borderId="0" xfId="0" applyFont="1" applyAlignment="1">
      <alignment horizontal="center"/>
    </xf>
    <xf numFmtId="0" fontId="0" fillId="0" borderId="0" xfId="0" applyBorder="1"/>
    <xf numFmtId="44" fontId="0" fillId="0" borderId="0" xfId="0" applyNumberFormat="1" applyBorder="1"/>
    <xf numFmtId="0" fontId="6" fillId="0" borderId="0" xfId="5" applyBorder="1"/>
    <xf numFmtId="9" fontId="0" fillId="0" borderId="0" xfId="6" applyFont="1"/>
    <xf numFmtId="44" fontId="5" fillId="0" borderId="0" xfId="4" applyNumberFormat="1" applyFill="1" applyBorder="1"/>
    <xf numFmtId="9" fontId="0" fillId="0" borderId="0" xfId="0" applyNumberFormat="1"/>
    <xf numFmtId="0" fontId="0" fillId="0" borderId="7" xfId="0" applyBorder="1"/>
    <xf numFmtId="0" fontId="1" fillId="0" borderId="9" xfId="0" applyFont="1" applyBorder="1"/>
    <xf numFmtId="0" fontId="0" fillId="0" borderId="9" xfId="0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7">
    <cellStyle name="40% - Accent2" xfId="2" builtinId="35"/>
    <cellStyle name="Currency" xfId="1" builtinId="4"/>
    <cellStyle name="Good" xfId="4" builtinId="26"/>
    <cellStyle name="Hyperlink" xfId="3" builtinId="8"/>
    <cellStyle name="Linked Cell" xfId="5" builtinId="24"/>
    <cellStyle name="Normal" xfId="0" builtinId="0"/>
    <cellStyle name="Percent" xfId="6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smooth-on.com/ease-release-200" TargetMode="External"/><Relationship Id="rId2" Type="http://schemas.openxmlformats.org/officeDocument/2006/relationships/hyperlink" Target="https://shop.smooth-on.com/oomoo-25" TargetMode="External"/><Relationship Id="rId1" Type="http://schemas.openxmlformats.org/officeDocument/2006/relationships/hyperlink" Target="https://shop.smooth-on.com/uvotm-colorants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"/>
  <sheetViews>
    <sheetView tabSelected="1" workbookViewId="0">
      <selection activeCell="K20" sqref="K20"/>
    </sheetView>
  </sheetViews>
  <sheetFormatPr defaultRowHeight="15" x14ac:dyDescent="0.25"/>
  <cols>
    <col min="2" max="2" width="25.7109375" customWidth="1"/>
    <col min="3" max="3" width="12" customWidth="1"/>
    <col min="4" max="4" width="9.85546875" bestFit="1" customWidth="1"/>
    <col min="5" max="6" width="9.85546875" customWidth="1"/>
    <col min="10" max="10" width="11.85546875" customWidth="1"/>
  </cols>
  <sheetData>
    <row r="2" spans="2:6" x14ac:dyDescent="0.25">
      <c r="B2" t="s">
        <v>143</v>
      </c>
      <c r="C2" s="33">
        <v>0.15</v>
      </c>
    </row>
    <row r="3" spans="2:6" x14ac:dyDescent="0.25">
      <c r="B3" s="11" t="s">
        <v>88</v>
      </c>
      <c r="C3" s="12">
        <v>0.94</v>
      </c>
    </row>
    <row r="4" spans="2:6" x14ac:dyDescent="0.25">
      <c r="B4" t="s">
        <v>139</v>
      </c>
      <c r="C4" s="31">
        <v>0.08</v>
      </c>
      <c r="D4" t="s">
        <v>141</v>
      </c>
    </row>
    <row r="5" spans="2:6" x14ac:dyDescent="0.25">
      <c r="B5" t="s">
        <v>140</v>
      </c>
      <c r="C5" s="2">
        <v>0.99</v>
      </c>
    </row>
    <row r="6" spans="2:6" x14ac:dyDescent="0.25">
      <c r="B6" t="s">
        <v>147</v>
      </c>
      <c r="C6" s="2">
        <v>5</v>
      </c>
    </row>
    <row r="7" spans="2:6" x14ac:dyDescent="0.25">
      <c r="B7" t="s">
        <v>142</v>
      </c>
      <c r="C7" s="2">
        <v>6</v>
      </c>
    </row>
    <row r="9" spans="2:6" x14ac:dyDescent="0.25">
      <c r="B9" t="s">
        <v>96</v>
      </c>
    </row>
    <row r="10" spans="2:6" x14ac:dyDescent="0.25">
      <c r="B10" t="s">
        <v>97</v>
      </c>
    </row>
    <row r="11" spans="2:6" x14ac:dyDescent="0.25">
      <c r="B11" t="s">
        <v>153</v>
      </c>
    </row>
    <row r="13" spans="2:6" ht="18.75" x14ac:dyDescent="0.3">
      <c r="B13" s="37" t="s">
        <v>134</v>
      </c>
      <c r="C13" s="38"/>
      <c r="D13" s="39"/>
      <c r="E13" s="27"/>
      <c r="F13" s="27"/>
    </row>
    <row r="14" spans="2:6" x14ac:dyDescent="0.25">
      <c r="B14" s="34"/>
      <c r="C14" s="23" t="s">
        <v>81</v>
      </c>
      <c r="D14" s="35" t="s">
        <v>82</v>
      </c>
      <c r="E14" s="13"/>
      <c r="F14" s="13"/>
    </row>
    <row r="15" spans="2:6" x14ac:dyDescent="0.25">
      <c r="B15" s="14" t="s">
        <v>89</v>
      </c>
      <c r="C15" s="15">
        <f>'2SM Elct'!G17</f>
        <v>58.084500000000006</v>
      </c>
      <c r="D15" s="18">
        <f>C15+(C15*C3)</f>
        <v>112.68393</v>
      </c>
      <c r="E15" s="28"/>
      <c r="F15" s="28"/>
    </row>
    <row r="16" spans="2:6" x14ac:dyDescent="0.25">
      <c r="B16" s="14" t="s">
        <v>90</v>
      </c>
      <c r="C16" s="15">
        <f>'2SM Harness'!G17</f>
        <v>38.044499999999999</v>
      </c>
      <c r="D16" s="15">
        <f>C16+(C16*C3)</f>
        <v>73.806330000000003</v>
      </c>
      <c r="E16" s="29"/>
      <c r="F16" s="29"/>
    </row>
    <row r="17" spans="2:7" x14ac:dyDescent="0.25">
      <c r="B17" s="14" t="s">
        <v>83</v>
      </c>
      <c r="C17" s="15">
        <f>'Shroud Parts'!G16</f>
        <v>11.112500000000001</v>
      </c>
      <c r="D17" s="15">
        <f>C17+(C17*C3)</f>
        <v>21.558250000000001</v>
      </c>
      <c r="E17" s="29"/>
      <c r="F17" s="29"/>
    </row>
    <row r="18" spans="2:7" x14ac:dyDescent="0.25">
      <c r="B18" s="34"/>
      <c r="C18" s="28"/>
      <c r="D18" s="36"/>
    </row>
    <row r="19" spans="2:7" x14ac:dyDescent="0.25">
      <c r="B19" s="14" t="s">
        <v>17</v>
      </c>
      <c r="C19" s="15">
        <f>SUM(C15:C18)</f>
        <v>107.2415</v>
      </c>
      <c r="D19" s="16">
        <f>SUM(D15:D18)</f>
        <v>208.04851000000002</v>
      </c>
    </row>
    <row r="20" spans="2:7" x14ac:dyDescent="0.25">
      <c r="B20" s="14" t="s">
        <v>84</v>
      </c>
      <c r="C20" s="15">
        <f>C19-C19</f>
        <v>0</v>
      </c>
      <c r="D20" s="17">
        <f>D19-C19</f>
        <v>100.80701000000002</v>
      </c>
      <c r="E20" s="30"/>
      <c r="F20" s="30"/>
    </row>
    <row r="21" spans="2:7" x14ac:dyDescent="0.25">
      <c r="E21" s="32"/>
      <c r="F21" s="32"/>
    </row>
    <row r="23" spans="2:7" x14ac:dyDescent="0.25">
      <c r="C23" s="10"/>
    </row>
    <row r="24" spans="2:7" x14ac:dyDescent="0.25">
      <c r="B24" s="19"/>
      <c r="C24" s="20"/>
      <c r="D24" s="21" t="s">
        <v>93</v>
      </c>
      <c r="E24" s="21" t="s">
        <v>149</v>
      </c>
      <c r="F24" s="21" t="s">
        <v>142</v>
      </c>
      <c r="G24" s="22" t="s">
        <v>84</v>
      </c>
    </row>
    <row r="25" spans="2:7" x14ac:dyDescent="0.25">
      <c r="B25" s="25" t="s">
        <v>148</v>
      </c>
      <c r="C25" s="23" t="s">
        <v>92</v>
      </c>
      <c r="D25" s="18">
        <f>D29-(C$2*D29)</f>
        <v>169.9915</v>
      </c>
      <c r="E25" s="18">
        <f>C$5+(D25*C$4)</f>
        <v>14.589320000000001</v>
      </c>
      <c r="F25" s="18">
        <f>C$6+C$7</f>
        <v>11</v>
      </c>
      <c r="G25" s="15">
        <f>D25-(C19+E25+F25)</f>
        <v>37.160679999999985</v>
      </c>
    </row>
    <row r="26" spans="2:7" x14ac:dyDescent="0.25">
      <c r="B26" s="24"/>
      <c r="C26" s="1" t="s">
        <v>91</v>
      </c>
      <c r="D26" s="18">
        <f>D30-(C$2*D30)</f>
        <v>110.4915</v>
      </c>
      <c r="E26" s="18">
        <f>C5+(D26*C4)</f>
        <v>9.8293200000000009</v>
      </c>
      <c r="F26" s="18">
        <f>C$6+C$7</f>
        <v>11</v>
      </c>
      <c r="G26" s="15">
        <f>D26-(C15+C17+E26+F26)</f>
        <v>20.465180000000004</v>
      </c>
    </row>
    <row r="28" spans="2:7" x14ac:dyDescent="0.25">
      <c r="B28" s="19"/>
      <c r="C28" s="20"/>
      <c r="D28" s="21" t="s">
        <v>93</v>
      </c>
      <c r="E28" s="21"/>
      <c r="F28" s="21"/>
      <c r="G28" s="22" t="s">
        <v>84</v>
      </c>
    </row>
    <row r="29" spans="2:7" x14ac:dyDescent="0.25">
      <c r="B29" s="25" t="s">
        <v>98</v>
      </c>
      <c r="C29" s="23" t="s">
        <v>92</v>
      </c>
      <c r="D29" s="18">
        <v>199.99</v>
      </c>
      <c r="E29" s="18">
        <f>C$5+(D29*C$4)</f>
        <v>16.9892</v>
      </c>
      <c r="F29" s="18">
        <f>C$6+C$7</f>
        <v>11</v>
      </c>
      <c r="G29" s="15">
        <f>D29-(C19+E29+F29)</f>
        <v>64.759299999999996</v>
      </c>
    </row>
    <row r="30" spans="2:7" x14ac:dyDescent="0.25">
      <c r="B30" s="24"/>
      <c r="C30" s="1" t="s">
        <v>91</v>
      </c>
      <c r="D30" s="18">
        <v>129.99</v>
      </c>
      <c r="E30" s="18">
        <f>C$5+(D30*C$4)</f>
        <v>11.389200000000001</v>
      </c>
      <c r="F30" s="18">
        <f>C$6+C$7</f>
        <v>11</v>
      </c>
      <c r="G30" s="15">
        <f>D30-(C15+C17+E30+F30)</f>
        <v>38.403800000000004</v>
      </c>
    </row>
  </sheetData>
  <mergeCells count="1">
    <mergeCell ref="B13:D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G27" sqref="G27"/>
    </sheetView>
  </sheetViews>
  <sheetFormatPr defaultRowHeight="15" x14ac:dyDescent="0.25"/>
  <cols>
    <col min="1" max="1" width="7.85546875" customWidth="1"/>
    <col min="2" max="2" width="25.42578125" customWidth="1"/>
    <col min="3" max="3" width="12.28515625" customWidth="1"/>
    <col min="4" max="4" width="23.28515625" bestFit="1" customWidth="1"/>
    <col min="6" max="7" width="11.5703125" customWidth="1"/>
    <col min="8" max="8" width="43.140625" bestFit="1" customWidth="1"/>
    <col min="9" max="9" width="21.140625" bestFit="1" customWidth="1"/>
  </cols>
  <sheetData>
    <row r="1" spans="1:9" x14ac:dyDescent="0.25">
      <c r="A1" s="1" t="s">
        <v>1</v>
      </c>
      <c r="B1" s="1" t="s">
        <v>0</v>
      </c>
      <c r="C1" s="1" t="s">
        <v>6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7</v>
      </c>
      <c r="I1" s="3" t="s">
        <v>20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s="2">
        <v>8.52</v>
      </c>
      <c r="F2">
        <v>1</v>
      </c>
      <c r="G2" s="2">
        <f>F2*E2</f>
        <v>8.52</v>
      </c>
      <c r="H2" t="s">
        <v>16</v>
      </c>
      <c r="I2" t="s">
        <v>21</v>
      </c>
    </row>
    <row r="3" spans="1:9" s="4" customFormat="1" x14ac:dyDescent="0.25">
      <c r="A3" s="4">
        <v>2</v>
      </c>
      <c r="B3" s="4" t="s">
        <v>18</v>
      </c>
      <c r="C3" s="4" t="s">
        <v>9</v>
      </c>
      <c r="D3" s="4" t="s">
        <v>11</v>
      </c>
      <c r="E3" s="5">
        <v>12.02</v>
      </c>
      <c r="F3" s="4">
        <v>1</v>
      </c>
      <c r="G3" s="5">
        <f t="shared" ref="G3:G16" si="0">F3*E3</f>
        <v>12.02</v>
      </c>
      <c r="H3" s="4" t="s">
        <v>52</v>
      </c>
      <c r="I3" s="4" t="s">
        <v>21</v>
      </c>
    </row>
    <row r="4" spans="1:9" x14ac:dyDescent="0.25">
      <c r="A4">
        <v>3</v>
      </c>
      <c r="B4" t="s">
        <v>13</v>
      </c>
      <c r="C4" t="s">
        <v>9</v>
      </c>
      <c r="D4" t="s">
        <v>12</v>
      </c>
      <c r="E4" s="2">
        <v>0.19</v>
      </c>
      <c r="F4">
        <v>1</v>
      </c>
      <c r="G4" s="2">
        <f t="shared" si="0"/>
        <v>0.19</v>
      </c>
      <c r="H4" t="s">
        <v>80</v>
      </c>
      <c r="I4" t="s">
        <v>21</v>
      </c>
    </row>
    <row r="5" spans="1:9" s="4" customFormat="1" x14ac:dyDescent="0.25">
      <c r="A5" s="4">
        <v>4</v>
      </c>
      <c r="B5" s="4" t="s">
        <v>74</v>
      </c>
      <c r="C5" s="4" t="s">
        <v>9</v>
      </c>
      <c r="D5" s="4" t="s">
        <v>14</v>
      </c>
      <c r="E5" s="5">
        <v>5.05</v>
      </c>
      <c r="F5" s="4">
        <v>2</v>
      </c>
      <c r="G5" s="5">
        <f t="shared" si="0"/>
        <v>10.1</v>
      </c>
      <c r="H5" s="4" t="s">
        <v>15</v>
      </c>
      <c r="I5" s="4" t="s">
        <v>21</v>
      </c>
    </row>
    <row r="6" spans="1:9" s="4" customFormat="1" x14ac:dyDescent="0.25">
      <c r="A6" s="4">
        <v>5</v>
      </c>
      <c r="B6" s="4">
        <v>120100602</v>
      </c>
      <c r="C6" s="4" t="s">
        <v>9</v>
      </c>
      <c r="D6" s="4" t="s">
        <v>75</v>
      </c>
      <c r="E6" s="5">
        <v>0.96</v>
      </c>
      <c r="F6" s="4">
        <v>2</v>
      </c>
      <c r="G6" s="5">
        <f t="shared" si="0"/>
        <v>1.92</v>
      </c>
      <c r="H6" s="4" t="s">
        <v>76</v>
      </c>
      <c r="I6" s="4" t="s">
        <v>21</v>
      </c>
    </row>
    <row r="7" spans="1:9" s="4" customFormat="1" x14ac:dyDescent="0.25">
      <c r="A7" s="4">
        <v>6</v>
      </c>
      <c r="B7" s="4" t="s">
        <v>136</v>
      </c>
      <c r="C7" s="4" t="s">
        <v>9</v>
      </c>
      <c r="D7" s="4" t="s">
        <v>72</v>
      </c>
      <c r="E7" s="5">
        <v>6.81</v>
      </c>
      <c r="F7" s="4">
        <v>2</v>
      </c>
      <c r="G7" s="5">
        <f t="shared" si="0"/>
        <v>13.62</v>
      </c>
      <c r="H7" s="4" t="s">
        <v>73</v>
      </c>
      <c r="I7" s="4" t="s">
        <v>21</v>
      </c>
    </row>
    <row r="8" spans="1:9" x14ac:dyDescent="0.25">
      <c r="A8" s="4">
        <v>7</v>
      </c>
      <c r="B8" t="s">
        <v>77</v>
      </c>
      <c r="C8" t="s">
        <v>9</v>
      </c>
      <c r="D8" t="s">
        <v>78</v>
      </c>
      <c r="E8" s="2">
        <v>0.54</v>
      </c>
      <c r="F8">
        <v>1</v>
      </c>
      <c r="G8" s="5">
        <f t="shared" si="0"/>
        <v>0.54</v>
      </c>
      <c r="H8" s="4" t="s">
        <v>131</v>
      </c>
      <c r="I8" t="s">
        <v>21</v>
      </c>
    </row>
    <row r="9" spans="1:9" s="4" customFormat="1" x14ac:dyDescent="0.25">
      <c r="A9" s="4">
        <v>8</v>
      </c>
      <c r="B9" s="4" t="s">
        <v>109</v>
      </c>
      <c r="C9" s="4" t="s">
        <v>9</v>
      </c>
      <c r="D9" s="4" t="s">
        <v>119</v>
      </c>
      <c r="E9" s="5">
        <v>0.05</v>
      </c>
      <c r="F9" s="4">
        <v>1</v>
      </c>
      <c r="G9" s="5">
        <f t="shared" si="0"/>
        <v>0.05</v>
      </c>
      <c r="H9" s="4" t="s">
        <v>19</v>
      </c>
      <c r="I9" s="4" t="s">
        <v>21</v>
      </c>
    </row>
    <row r="10" spans="1:9" x14ac:dyDescent="0.25">
      <c r="A10" s="4">
        <v>9</v>
      </c>
      <c r="B10" t="s">
        <v>107</v>
      </c>
      <c r="C10" s="4" t="s">
        <v>9</v>
      </c>
      <c r="D10" t="s">
        <v>108</v>
      </c>
      <c r="E10" s="2">
        <v>0.56000000000000005</v>
      </c>
      <c r="F10">
        <v>1</v>
      </c>
      <c r="G10" s="8">
        <f t="shared" si="0"/>
        <v>0.56000000000000005</v>
      </c>
      <c r="H10" t="s">
        <v>57</v>
      </c>
      <c r="I10" t="s">
        <v>21</v>
      </c>
    </row>
    <row r="11" spans="1:9" x14ac:dyDescent="0.25">
      <c r="A11" s="4">
        <v>10</v>
      </c>
      <c r="B11" t="s">
        <v>58</v>
      </c>
      <c r="C11" s="4" t="s">
        <v>9</v>
      </c>
      <c r="D11" t="s">
        <v>59</v>
      </c>
      <c r="E11" s="2">
        <v>0.17499999999999999</v>
      </c>
      <c r="F11">
        <v>2</v>
      </c>
      <c r="G11" s="8">
        <f t="shared" si="0"/>
        <v>0.35</v>
      </c>
      <c r="H11" t="s">
        <v>62</v>
      </c>
      <c r="I11" t="s">
        <v>21</v>
      </c>
    </row>
    <row r="12" spans="1:9" x14ac:dyDescent="0.25">
      <c r="A12" s="4">
        <v>11</v>
      </c>
      <c r="B12" t="s">
        <v>60</v>
      </c>
      <c r="C12" s="4" t="s">
        <v>9</v>
      </c>
      <c r="D12" t="s">
        <v>61</v>
      </c>
      <c r="E12" s="2">
        <v>2.7E-2</v>
      </c>
      <c r="F12">
        <v>1</v>
      </c>
      <c r="G12" s="8">
        <f t="shared" si="0"/>
        <v>2.7E-2</v>
      </c>
      <c r="H12" t="s">
        <v>62</v>
      </c>
      <c r="I12" t="s">
        <v>21</v>
      </c>
    </row>
    <row r="13" spans="1:9" x14ac:dyDescent="0.25">
      <c r="A13" s="4">
        <v>12</v>
      </c>
      <c r="B13" t="s">
        <v>65</v>
      </c>
      <c r="C13" s="4" t="s">
        <v>9</v>
      </c>
      <c r="D13" t="s">
        <v>95</v>
      </c>
      <c r="E13" s="2">
        <v>7.95</v>
      </c>
      <c r="F13">
        <v>0.1</v>
      </c>
      <c r="G13" s="8">
        <f t="shared" si="0"/>
        <v>0.79500000000000004</v>
      </c>
      <c r="H13" t="s">
        <v>94</v>
      </c>
      <c r="I13" t="s">
        <v>21</v>
      </c>
    </row>
    <row r="14" spans="1:9" x14ac:dyDescent="0.25">
      <c r="A14" s="4">
        <v>13</v>
      </c>
      <c r="B14">
        <v>8695</v>
      </c>
      <c r="C14" t="s">
        <v>9</v>
      </c>
      <c r="D14" t="s">
        <v>54</v>
      </c>
      <c r="E14" s="2">
        <v>19.7</v>
      </c>
      <c r="F14">
        <v>2.5000000000000001E-2</v>
      </c>
      <c r="G14" s="8">
        <f t="shared" si="0"/>
        <v>0.49249999999999999</v>
      </c>
      <c r="H14" t="s">
        <v>79</v>
      </c>
      <c r="I14" t="s">
        <v>21</v>
      </c>
    </row>
    <row r="15" spans="1:9" x14ac:dyDescent="0.25">
      <c r="A15" s="4">
        <v>14</v>
      </c>
      <c r="C15" t="s">
        <v>85</v>
      </c>
      <c r="D15" t="s">
        <v>86</v>
      </c>
      <c r="E15" s="2">
        <v>1.2</v>
      </c>
      <c r="F15">
        <v>1</v>
      </c>
      <c r="G15" s="8">
        <f t="shared" si="0"/>
        <v>1.2</v>
      </c>
      <c r="H15" t="s">
        <v>87</v>
      </c>
      <c r="I15" t="s">
        <v>21</v>
      </c>
    </row>
    <row r="16" spans="1:9" x14ac:dyDescent="0.25">
      <c r="A16" s="4">
        <v>15</v>
      </c>
      <c r="B16" t="s">
        <v>132</v>
      </c>
      <c r="C16" t="s">
        <v>132</v>
      </c>
      <c r="D16" t="s">
        <v>144</v>
      </c>
      <c r="E16" s="2">
        <v>7.7</v>
      </c>
      <c r="F16">
        <v>1</v>
      </c>
      <c r="G16" s="8">
        <f t="shared" si="0"/>
        <v>7.7</v>
      </c>
      <c r="H16" t="s">
        <v>135</v>
      </c>
      <c r="I16" t="s">
        <v>21</v>
      </c>
    </row>
    <row r="17" spans="7:8" x14ac:dyDescent="0.25">
      <c r="G17" s="7">
        <f>SUM(G2:G16)</f>
        <v>58.084500000000006</v>
      </c>
      <c r="H17" t="s">
        <v>17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C32" sqref="C32"/>
    </sheetView>
  </sheetViews>
  <sheetFormatPr defaultRowHeight="15" x14ac:dyDescent="0.25"/>
  <cols>
    <col min="2" max="2" width="28.140625" customWidth="1"/>
    <col min="4" max="4" width="26.5703125" bestFit="1" customWidth="1"/>
    <col min="7" max="7" width="9" bestFit="1" customWidth="1"/>
    <col min="8" max="8" width="56.85546875" bestFit="1" customWidth="1"/>
    <col min="9" max="9" width="21.140625" bestFit="1" customWidth="1"/>
  </cols>
  <sheetData>
    <row r="1" spans="1:9" x14ac:dyDescent="0.25">
      <c r="A1" s="1" t="s">
        <v>1</v>
      </c>
      <c r="B1" s="1" t="s">
        <v>0</v>
      </c>
      <c r="C1" s="1" t="s">
        <v>6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7</v>
      </c>
      <c r="I1" s="3" t="s">
        <v>20</v>
      </c>
    </row>
    <row r="2" spans="1:9" hidden="1" x14ac:dyDescent="0.25">
      <c r="A2">
        <v>1</v>
      </c>
      <c r="B2" t="s">
        <v>25</v>
      </c>
      <c r="C2" t="s">
        <v>24</v>
      </c>
      <c r="D2" t="s">
        <v>22</v>
      </c>
      <c r="E2" s="2">
        <v>14</v>
      </c>
      <c r="F2">
        <v>0</v>
      </c>
      <c r="G2" s="2">
        <f>E2*F2</f>
        <v>0</v>
      </c>
      <c r="H2" t="s">
        <v>23</v>
      </c>
    </row>
    <row r="3" spans="1:9" x14ac:dyDescent="0.25">
      <c r="A3">
        <v>1</v>
      </c>
      <c r="B3" t="s">
        <v>37</v>
      </c>
      <c r="C3" t="s">
        <v>9</v>
      </c>
      <c r="D3" t="s">
        <v>38</v>
      </c>
      <c r="E3" s="2">
        <v>1.6519999999999999</v>
      </c>
      <c r="F3">
        <v>1</v>
      </c>
      <c r="G3" s="2">
        <f t="shared" ref="G3:G15" si="0">E3*F3</f>
        <v>1.6519999999999999</v>
      </c>
      <c r="H3" t="s">
        <v>105</v>
      </c>
    </row>
    <row r="4" spans="1:9" x14ac:dyDescent="0.25">
      <c r="A4">
        <v>2</v>
      </c>
      <c r="B4" t="s">
        <v>27</v>
      </c>
      <c r="C4" t="s">
        <v>24</v>
      </c>
      <c r="D4" t="s">
        <v>26</v>
      </c>
      <c r="E4" s="2">
        <v>14</v>
      </c>
      <c r="F4">
        <v>0.15</v>
      </c>
      <c r="G4" s="2">
        <f t="shared" si="0"/>
        <v>2.1</v>
      </c>
    </row>
    <row r="5" spans="1:9" x14ac:dyDescent="0.25">
      <c r="A5">
        <v>3</v>
      </c>
      <c r="B5" t="s">
        <v>33</v>
      </c>
      <c r="C5" t="s">
        <v>9</v>
      </c>
      <c r="D5" t="s">
        <v>34</v>
      </c>
      <c r="E5" s="2">
        <v>0.93</v>
      </c>
      <c r="F5">
        <v>5</v>
      </c>
      <c r="G5" s="2">
        <f t="shared" si="0"/>
        <v>4.6500000000000004</v>
      </c>
    </row>
    <row r="6" spans="1:9" x14ac:dyDescent="0.25">
      <c r="A6">
        <v>4</v>
      </c>
      <c r="B6" t="s">
        <v>50</v>
      </c>
      <c r="C6" t="s">
        <v>9</v>
      </c>
      <c r="D6" t="s">
        <v>49</v>
      </c>
      <c r="E6" s="2">
        <v>0.105</v>
      </c>
      <c r="F6">
        <v>5</v>
      </c>
      <c r="G6" s="2">
        <f t="shared" si="0"/>
        <v>0.52500000000000002</v>
      </c>
    </row>
    <row r="7" spans="1:9" x14ac:dyDescent="0.25">
      <c r="A7">
        <v>5</v>
      </c>
      <c r="B7" t="s">
        <v>32</v>
      </c>
      <c r="C7" t="s">
        <v>9</v>
      </c>
      <c r="D7" t="s">
        <v>35</v>
      </c>
      <c r="E7" s="2">
        <v>2.9</v>
      </c>
      <c r="F7">
        <v>1</v>
      </c>
      <c r="G7" s="2">
        <f t="shared" si="0"/>
        <v>2.9</v>
      </c>
    </row>
    <row r="8" spans="1:9" x14ac:dyDescent="0.25">
      <c r="A8">
        <v>6</v>
      </c>
      <c r="B8" t="s">
        <v>47</v>
      </c>
      <c r="C8" t="s">
        <v>9</v>
      </c>
      <c r="D8" t="s">
        <v>48</v>
      </c>
      <c r="E8" s="2">
        <v>0.2</v>
      </c>
      <c r="F8">
        <v>1</v>
      </c>
      <c r="G8" s="2">
        <f t="shared" si="0"/>
        <v>0.2</v>
      </c>
    </row>
    <row r="9" spans="1:9" x14ac:dyDescent="0.25">
      <c r="A9">
        <v>7</v>
      </c>
      <c r="B9" t="s">
        <v>31</v>
      </c>
      <c r="C9" t="s">
        <v>9</v>
      </c>
      <c r="D9" t="s">
        <v>30</v>
      </c>
      <c r="E9" s="2">
        <v>0.43</v>
      </c>
      <c r="F9">
        <v>16</v>
      </c>
      <c r="G9" s="2">
        <f t="shared" si="0"/>
        <v>6.88</v>
      </c>
      <c r="H9" t="s">
        <v>146</v>
      </c>
    </row>
    <row r="10" spans="1:9" x14ac:dyDescent="0.25">
      <c r="A10">
        <v>8</v>
      </c>
      <c r="B10" t="s">
        <v>41</v>
      </c>
      <c r="C10" t="s">
        <v>9</v>
      </c>
      <c r="D10" t="s">
        <v>28</v>
      </c>
      <c r="E10" s="2">
        <v>3.83</v>
      </c>
      <c r="F10">
        <v>0.25</v>
      </c>
      <c r="G10" s="2">
        <f t="shared" si="0"/>
        <v>0.95750000000000002</v>
      </c>
      <c r="H10" t="s">
        <v>36</v>
      </c>
    </row>
    <row r="11" spans="1:9" x14ac:dyDescent="0.25">
      <c r="A11">
        <v>9</v>
      </c>
      <c r="B11" t="s">
        <v>40</v>
      </c>
      <c r="C11" t="s">
        <v>9</v>
      </c>
      <c r="D11" t="s">
        <v>29</v>
      </c>
      <c r="E11" s="2">
        <v>2.12</v>
      </c>
      <c r="F11">
        <v>0.5</v>
      </c>
      <c r="G11" s="2">
        <f t="shared" si="0"/>
        <v>1.06</v>
      </c>
      <c r="H11" t="s">
        <v>39</v>
      </c>
    </row>
    <row r="12" spans="1:9" x14ac:dyDescent="0.25">
      <c r="A12">
        <v>10</v>
      </c>
      <c r="B12" s="6" t="s">
        <v>118</v>
      </c>
      <c r="C12" t="s">
        <v>9</v>
      </c>
      <c r="D12" t="s">
        <v>114</v>
      </c>
      <c r="E12" s="2">
        <v>0.23</v>
      </c>
      <c r="F12">
        <v>12</v>
      </c>
      <c r="G12" s="2">
        <f t="shared" si="0"/>
        <v>2.7600000000000002</v>
      </c>
      <c r="H12" t="s">
        <v>116</v>
      </c>
    </row>
    <row r="13" spans="1:9" x14ac:dyDescent="0.25">
      <c r="A13">
        <v>11</v>
      </c>
      <c r="B13" t="s">
        <v>117</v>
      </c>
      <c r="C13" t="s">
        <v>9</v>
      </c>
      <c r="D13" t="s">
        <v>115</v>
      </c>
      <c r="E13" s="2">
        <v>0.23</v>
      </c>
      <c r="F13">
        <v>24</v>
      </c>
      <c r="G13" s="2">
        <f t="shared" si="0"/>
        <v>5.5200000000000005</v>
      </c>
      <c r="H13" t="s">
        <v>116</v>
      </c>
    </row>
    <row r="14" spans="1:9" x14ac:dyDescent="0.25">
      <c r="A14">
        <v>12</v>
      </c>
      <c r="B14" s="6" t="s">
        <v>45</v>
      </c>
      <c r="C14" t="s">
        <v>9</v>
      </c>
      <c r="D14" t="s">
        <v>43</v>
      </c>
      <c r="E14" s="2">
        <v>0.5</v>
      </c>
      <c r="F14">
        <v>4</v>
      </c>
      <c r="G14" s="2">
        <f t="shared" si="0"/>
        <v>2</v>
      </c>
      <c r="H14" t="s">
        <v>110</v>
      </c>
    </row>
    <row r="15" spans="1:9" x14ac:dyDescent="0.25">
      <c r="A15">
        <v>13</v>
      </c>
      <c r="B15" t="s">
        <v>46</v>
      </c>
      <c r="C15" t="s">
        <v>9</v>
      </c>
      <c r="D15" t="s">
        <v>44</v>
      </c>
      <c r="E15" s="2">
        <v>0.46</v>
      </c>
      <c r="F15">
        <v>4</v>
      </c>
      <c r="G15" s="2">
        <f t="shared" si="0"/>
        <v>1.84</v>
      </c>
      <c r="H15" t="s">
        <v>110</v>
      </c>
    </row>
    <row r="16" spans="1:9" x14ac:dyDescent="0.25">
      <c r="A16">
        <v>14</v>
      </c>
      <c r="B16" t="s">
        <v>132</v>
      </c>
      <c r="C16" t="s">
        <v>132</v>
      </c>
      <c r="D16" t="s">
        <v>132</v>
      </c>
      <c r="E16" s="2">
        <v>5</v>
      </c>
      <c r="F16">
        <v>1</v>
      </c>
      <c r="G16" s="2">
        <f t="shared" ref="G16" si="1">E16*F16</f>
        <v>5</v>
      </c>
      <c r="H16" t="s">
        <v>145</v>
      </c>
    </row>
    <row r="17" spans="2:7" x14ac:dyDescent="0.25">
      <c r="G17" s="7">
        <f>SUM(G2:G16)</f>
        <v>38.044499999999999</v>
      </c>
    </row>
    <row r="22" spans="2:7" x14ac:dyDescent="0.25">
      <c r="B22" t="s">
        <v>42</v>
      </c>
    </row>
    <row r="23" spans="2:7" x14ac:dyDescent="0.25">
      <c r="B23" t="s">
        <v>137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23" sqref="D22:D23"/>
    </sheetView>
  </sheetViews>
  <sheetFormatPr defaultRowHeight="15" x14ac:dyDescent="0.25"/>
  <cols>
    <col min="2" max="2" width="16.28515625" customWidth="1"/>
    <col min="3" max="3" width="11.7109375" customWidth="1"/>
    <col min="4" max="4" width="26.5703125" bestFit="1" customWidth="1"/>
    <col min="7" max="7" width="11.5703125" customWidth="1"/>
    <col min="8" max="8" width="42" customWidth="1"/>
    <col min="9" max="9" width="21.140625" bestFit="1" customWidth="1"/>
  </cols>
  <sheetData>
    <row r="1" spans="1:9" x14ac:dyDescent="0.25">
      <c r="A1" s="1" t="s">
        <v>1</v>
      </c>
      <c r="B1" s="1" t="s">
        <v>0</v>
      </c>
      <c r="C1" s="1" t="s">
        <v>6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7</v>
      </c>
      <c r="I1" s="3" t="s">
        <v>20</v>
      </c>
    </row>
    <row r="2" spans="1:9" hidden="1" x14ac:dyDescent="0.25">
      <c r="A2">
        <v>1</v>
      </c>
      <c r="B2" t="s">
        <v>111</v>
      </c>
      <c r="C2" t="s">
        <v>64</v>
      </c>
      <c r="D2" t="s">
        <v>125</v>
      </c>
      <c r="E2">
        <v>3.5000000000000003E-2</v>
      </c>
      <c r="F2">
        <v>0</v>
      </c>
      <c r="G2">
        <f t="shared" ref="G2:G15" si="0">F2*E2</f>
        <v>0</v>
      </c>
      <c r="H2" t="s">
        <v>99</v>
      </c>
      <c r="I2" t="s">
        <v>21</v>
      </c>
    </row>
    <row r="3" spans="1:9" hidden="1" x14ac:dyDescent="0.25">
      <c r="A3">
        <v>2</v>
      </c>
      <c r="B3" t="s">
        <v>112</v>
      </c>
      <c r="C3" t="s">
        <v>64</v>
      </c>
      <c r="D3" t="s">
        <v>124</v>
      </c>
      <c r="E3">
        <v>0.13</v>
      </c>
      <c r="F3">
        <v>0</v>
      </c>
      <c r="G3">
        <f t="shared" si="0"/>
        <v>0</v>
      </c>
      <c r="H3" t="s">
        <v>128</v>
      </c>
      <c r="I3" t="s">
        <v>21</v>
      </c>
    </row>
    <row r="4" spans="1:9" hidden="1" x14ac:dyDescent="0.25">
      <c r="A4">
        <v>3</v>
      </c>
      <c r="B4" t="s">
        <v>129</v>
      </c>
      <c r="C4" t="s">
        <v>64</v>
      </c>
      <c r="D4" t="s">
        <v>126</v>
      </c>
      <c r="E4">
        <v>0.12</v>
      </c>
      <c r="F4">
        <v>0</v>
      </c>
      <c r="G4">
        <f t="shared" si="0"/>
        <v>0</v>
      </c>
      <c r="H4" t="s">
        <v>100</v>
      </c>
    </row>
    <row r="5" spans="1:9" x14ac:dyDescent="0.25">
      <c r="A5">
        <v>1</v>
      </c>
      <c r="B5" t="s">
        <v>120</v>
      </c>
      <c r="C5" t="s">
        <v>64</v>
      </c>
      <c r="D5" t="s">
        <v>122</v>
      </c>
      <c r="E5">
        <v>0.12</v>
      </c>
      <c r="F5">
        <v>8</v>
      </c>
      <c r="G5">
        <f t="shared" si="0"/>
        <v>0.96</v>
      </c>
      <c r="H5" t="s">
        <v>99</v>
      </c>
      <c r="I5" t="s">
        <v>21</v>
      </c>
    </row>
    <row r="6" spans="1:9" x14ac:dyDescent="0.25">
      <c r="A6">
        <v>2</v>
      </c>
      <c r="B6" t="s">
        <v>121</v>
      </c>
      <c r="C6" t="s">
        <v>64</v>
      </c>
      <c r="D6" t="s">
        <v>123</v>
      </c>
      <c r="E6">
        <v>0.08</v>
      </c>
      <c r="F6">
        <v>5</v>
      </c>
      <c r="G6">
        <f t="shared" si="0"/>
        <v>0.4</v>
      </c>
      <c r="H6" t="s">
        <v>128</v>
      </c>
      <c r="I6" t="s">
        <v>21</v>
      </c>
    </row>
    <row r="7" spans="1:9" x14ac:dyDescent="0.25">
      <c r="A7">
        <v>3</v>
      </c>
      <c r="B7" t="s">
        <v>130</v>
      </c>
      <c r="C7" t="s">
        <v>64</v>
      </c>
      <c r="D7" t="s">
        <v>127</v>
      </c>
      <c r="E7">
        <v>0.15</v>
      </c>
      <c r="F7">
        <v>4</v>
      </c>
      <c r="G7">
        <f t="shared" si="0"/>
        <v>0.6</v>
      </c>
      <c r="H7" t="s">
        <v>100</v>
      </c>
    </row>
    <row r="8" spans="1:9" x14ac:dyDescent="0.25">
      <c r="A8">
        <v>4</v>
      </c>
      <c r="B8">
        <v>2795576</v>
      </c>
      <c r="C8" t="s">
        <v>63</v>
      </c>
      <c r="D8" t="s">
        <v>51</v>
      </c>
      <c r="E8">
        <v>7.09</v>
      </c>
      <c r="F8">
        <v>0.05</v>
      </c>
      <c r="G8">
        <f t="shared" si="0"/>
        <v>0.35450000000000004</v>
      </c>
      <c r="H8" t="s">
        <v>101</v>
      </c>
      <c r="I8" t="s">
        <v>21</v>
      </c>
    </row>
    <row r="9" spans="1:9" hidden="1" x14ac:dyDescent="0.25">
      <c r="A9">
        <v>8</v>
      </c>
      <c r="B9" s="9" t="s">
        <v>69</v>
      </c>
      <c r="C9" t="s">
        <v>53</v>
      </c>
      <c r="D9" t="s">
        <v>55</v>
      </c>
      <c r="E9">
        <v>186.33</v>
      </c>
      <c r="F9">
        <v>0</v>
      </c>
      <c r="G9">
        <f t="shared" si="0"/>
        <v>0</v>
      </c>
      <c r="H9" t="s">
        <v>56</v>
      </c>
      <c r="I9" t="s">
        <v>21</v>
      </c>
    </row>
    <row r="10" spans="1:9" hidden="1" x14ac:dyDescent="0.25">
      <c r="A10">
        <v>9</v>
      </c>
      <c r="B10" s="9"/>
      <c r="C10" t="s">
        <v>53</v>
      </c>
      <c r="D10" t="s">
        <v>138</v>
      </c>
      <c r="E10">
        <v>126</v>
      </c>
      <c r="F10">
        <v>0</v>
      </c>
      <c r="G10">
        <f t="shared" si="0"/>
        <v>0</v>
      </c>
      <c r="H10" t="s">
        <v>106</v>
      </c>
      <c r="I10" t="s">
        <v>21</v>
      </c>
    </row>
    <row r="11" spans="1:9" hidden="1" x14ac:dyDescent="0.25">
      <c r="A11">
        <v>10</v>
      </c>
      <c r="B11" s="9" t="s">
        <v>68</v>
      </c>
      <c r="C11" t="s">
        <v>53</v>
      </c>
      <c r="D11" t="s">
        <v>67</v>
      </c>
      <c r="E11">
        <v>15</v>
      </c>
      <c r="F11">
        <v>0</v>
      </c>
      <c r="G11">
        <f t="shared" si="0"/>
        <v>0</v>
      </c>
      <c r="H11" t="s">
        <v>66</v>
      </c>
      <c r="I11" t="s">
        <v>21</v>
      </c>
    </row>
    <row r="12" spans="1:9" hidden="1" x14ac:dyDescent="0.25">
      <c r="A12">
        <v>11</v>
      </c>
      <c r="B12" s="9" t="s">
        <v>71</v>
      </c>
      <c r="C12" t="s">
        <v>53</v>
      </c>
      <c r="D12" t="s">
        <v>70</v>
      </c>
      <c r="E12">
        <v>13.46</v>
      </c>
      <c r="F12">
        <v>0</v>
      </c>
      <c r="G12">
        <f t="shared" si="0"/>
        <v>0</v>
      </c>
      <c r="H12" t="s">
        <v>113</v>
      </c>
      <c r="I12" t="s">
        <v>21</v>
      </c>
    </row>
    <row r="13" spans="1:9" x14ac:dyDescent="0.25">
      <c r="A13">
        <v>5</v>
      </c>
      <c r="B13" s="26" t="s">
        <v>102</v>
      </c>
      <c r="C13" t="s">
        <v>9</v>
      </c>
      <c r="D13" t="s">
        <v>103</v>
      </c>
      <c r="E13">
        <v>0.6</v>
      </c>
      <c r="F13">
        <v>1</v>
      </c>
      <c r="G13">
        <f t="shared" si="0"/>
        <v>0.6</v>
      </c>
      <c r="H13" t="s">
        <v>104</v>
      </c>
      <c r="I13" t="s">
        <v>21</v>
      </c>
    </row>
    <row r="14" spans="1:9" x14ac:dyDescent="0.25">
      <c r="A14">
        <v>6</v>
      </c>
      <c r="B14" s="26" t="s">
        <v>151</v>
      </c>
      <c r="C14" t="s">
        <v>24</v>
      </c>
      <c r="D14" t="s">
        <v>150</v>
      </c>
      <c r="E14">
        <v>15.99</v>
      </c>
      <c r="F14">
        <v>0.2</v>
      </c>
      <c r="G14">
        <f t="shared" si="0"/>
        <v>3.1980000000000004</v>
      </c>
      <c r="H14" t="s">
        <v>152</v>
      </c>
    </row>
    <row r="15" spans="1:9" x14ac:dyDescent="0.25">
      <c r="A15">
        <v>7</v>
      </c>
      <c r="B15" t="s">
        <v>132</v>
      </c>
      <c r="C15" t="s">
        <v>132</v>
      </c>
      <c r="D15" t="s">
        <v>133</v>
      </c>
      <c r="E15" s="2">
        <v>5</v>
      </c>
      <c r="F15">
        <v>1</v>
      </c>
      <c r="G15" s="8">
        <f t="shared" si="0"/>
        <v>5</v>
      </c>
      <c r="H15" t="s">
        <v>145</v>
      </c>
      <c r="I15" t="s">
        <v>21</v>
      </c>
    </row>
    <row r="16" spans="1:9" x14ac:dyDescent="0.25">
      <c r="G16" s="7">
        <f>SUM(G2:G15)</f>
        <v>11.112500000000001</v>
      </c>
    </row>
  </sheetData>
  <hyperlinks>
    <hyperlink ref="B11" r:id="rId1"/>
    <hyperlink ref="B9" r:id="rId2"/>
    <hyperlink ref="B12" r:id="rId3"/>
  </hyperlinks>
  <pageMargins left="0.7" right="0.7" top="0.75" bottom="0.75" header="0.3" footer="0.3"/>
  <pageSetup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COSTING</vt:lpstr>
      <vt:lpstr>2SM Elct</vt:lpstr>
      <vt:lpstr>2SM Harness</vt:lpstr>
      <vt:lpstr>Shroud Parts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2026-02-26T00:48:57Z</dcterms:modified>
</cp:coreProperties>
</file>